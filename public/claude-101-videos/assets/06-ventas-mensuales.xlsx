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mensuales" sheetId="1" state="visible" r:id="rId1"/>
    <sheet xmlns:r="http://schemas.openxmlformats.org/officeDocument/2006/relationships" name="Resumen mensual" sheetId="2" state="visible" r:id="rId2"/>
  </sheets>
  <definedNames>
    <definedName name="_xlnm._FilterDatabase" localSheetId="0" hidden="1">'Ventas mensuales'!$A$1:$G$61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C8542B"/>
        <bgColor rgb="FFC8542B"/>
      </patternFill>
    </fill>
  </fills>
  <borders count="2">
    <border>
      <left/>
      <right/>
      <top/>
      <bottom/>
      <diagonal/>
    </border>
    <border>
      <left style="thin">
        <color rgb="FFE1D8C2"/>
      </left>
      <right style="thin">
        <color rgb="FFE1D8C2"/>
      </right>
      <top style="thin">
        <color rgb="FFE1D8C2"/>
      </top>
      <bottom style="thin">
        <color rgb="FFE1D8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6" customWidth="1" min="5" max="5"/>
    <col width="14" customWidth="1" min="6" max="6"/>
    <col width="22" customWidth="1" min="7" max="7"/>
  </cols>
  <sheetData>
    <row r="1">
      <c r="A1" s="1" t="inlineStr">
        <is>
          <t>Mes</t>
        </is>
      </c>
      <c r="B1" s="1" t="inlineStr">
        <is>
          <t>Linea_Producto</t>
        </is>
      </c>
      <c r="C1" s="1" t="inlineStr">
        <is>
          <t>Unidades_Vendidas</t>
        </is>
      </c>
      <c r="D1" s="1" t="inlineStr">
        <is>
          <t>Precio_Medio</t>
        </is>
      </c>
      <c r="E1" s="1" t="inlineStr">
        <is>
          <t>Ingresos_EUR</t>
        </is>
      </c>
      <c r="F1" s="1" t="inlineStr">
        <is>
          <t>Devoluciones</t>
        </is>
      </c>
      <c r="G1" s="1" t="inlineStr">
        <is>
          <t>Coste_Variable_EUR</t>
        </is>
      </c>
    </row>
    <row r="2">
      <c r="A2" s="2" t="inlineStr">
        <is>
          <t>2025-05</t>
        </is>
      </c>
      <c r="B2" s="2" t="inlineStr">
        <is>
          <t>Café_en_grano</t>
        </is>
      </c>
      <c r="C2" s="3" t="n">
        <v>1240</v>
      </c>
      <c r="D2" s="4" t="n">
        <v>18.5</v>
      </c>
      <c r="E2" s="4" t="n">
        <v>22940</v>
      </c>
      <c r="F2" s="3" t="n">
        <v>12</v>
      </c>
      <c r="G2" s="4" t="n">
        <v>9176</v>
      </c>
    </row>
    <row r="3">
      <c r="A3" s="2" t="inlineStr">
        <is>
          <t>2025-05</t>
        </is>
      </c>
      <c r="B3" s="2" t="inlineStr">
        <is>
          <t>Cápsulas</t>
        </is>
      </c>
      <c r="C3" s="3" t="n">
        <v>3180</v>
      </c>
      <c r="D3" s="4" t="n">
        <v>9.9</v>
      </c>
      <c r="E3" s="4" t="n">
        <v>31482</v>
      </c>
      <c r="F3" s="3" t="n">
        <v>45</v>
      </c>
      <c r="G3" s="4" t="n">
        <v>15741</v>
      </c>
    </row>
    <row r="4">
      <c r="A4" s="2" t="inlineStr">
        <is>
          <t>2025-05</t>
        </is>
      </c>
      <c r="B4" s="2" t="inlineStr">
        <is>
          <t>Cold_Brew_botella</t>
        </is>
      </c>
      <c r="C4" s="3" t="n">
        <v>820</v>
      </c>
      <c r="D4" s="4" t="n">
        <v>5.5</v>
      </c>
      <c r="E4" s="4" t="n">
        <v>4510</v>
      </c>
      <c r="F4" s="3" t="n">
        <v>8</v>
      </c>
      <c r="G4" s="4" t="n">
        <v>2255</v>
      </c>
    </row>
    <row r="5">
      <c r="A5" s="2" t="inlineStr">
        <is>
          <t>2025-05</t>
        </is>
      </c>
      <c r="B5" s="2" t="inlineStr">
        <is>
          <t>Merchandising</t>
        </is>
      </c>
      <c r="C5" s="3" t="n">
        <v>310</v>
      </c>
      <c r="D5" s="4" t="n">
        <v>22</v>
      </c>
      <c r="E5" s="4" t="n">
        <v>6820</v>
      </c>
      <c r="F5" s="3" t="n">
        <v>2</v>
      </c>
      <c r="G5" s="4" t="n">
        <v>3410</v>
      </c>
    </row>
    <row r="6">
      <c r="A6" s="2" t="inlineStr">
        <is>
          <t>2025-05</t>
        </is>
      </c>
      <c r="B6" s="2" t="inlineStr">
        <is>
          <t>Suscripcion_mensual</t>
        </is>
      </c>
      <c r="C6" s="3" t="n">
        <v>425</v>
      </c>
      <c r="D6" s="4" t="n">
        <v>29</v>
      </c>
      <c r="E6" s="4" t="n">
        <v>12325</v>
      </c>
      <c r="F6" s="3" t="n">
        <v>3</v>
      </c>
      <c r="G6" s="4" t="n">
        <v>2465</v>
      </c>
    </row>
    <row r="7">
      <c r="A7" s="2" t="inlineStr">
        <is>
          <t>2025-06</t>
        </is>
      </c>
      <c r="B7" s="2" t="inlineStr">
        <is>
          <t>Café_en_grano</t>
        </is>
      </c>
      <c r="C7" s="3" t="n">
        <v>1310</v>
      </c>
      <c r="D7" s="4" t="n">
        <v>18.5</v>
      </c>
      <c r="E7" s="4" t="n">
        <v>24235</v>
      </c>
      <c r="F7" s="3" t="n">
        <v>15</v>
      </c>
      <c r="G7" s="4" t="n">
        <v>9694</v>
      </c>
    </row>
    <row r="8">
      <c r="A8" s="2" t="inlineStr">
        <is>
          <t>2025-06</t>
        </is>
      </c>
      <c r="B8" s="2" t="inlineStr">
        <is>
          <t>Cápsulas</t>
        </is>
      </c>
      <c r="C8" s="3" t="n">
        <v>3450</v>
      </c>
      <c r="D8" s="4" t="n">
        <v>9.9</v>
      </c>
      <c r="E8" s="4" t="n">
        <v>34155</v>
      </c>
      <c r="F8" s="3" t="n">
        <v>52</v>
      </c>
      <c r="G8" s="4" t="n">
        <v>17078</v>
      </c>
    </row>
    <row r="9">
      <c r="A9" s="2" t="inlineStr">
        <is>
          <t>2025-06</t>
        </is>
      </c>
      <c r="B9" s="2" t="inlineStr">
        <is>
          <t>Cold_Brew_botella</t>
        </is>
      </c>
      <c r="C9" s="3" t="n">
        <v>1180</v>
      </c>
      <c r="D9" s="4" t="n">
        <v>5.5</v>
      </c>
      <c r="E9" s="4" t="n">
        <v>6490</v>
      </c>
      <c r="F9" s="3" t="n">
        <v>11</v>
      </c>
      <c r="G9" s="4" t="n">
        <v>3245</v>
      </c>
    </row>
    <row r="10">
      <c r="A10" s="2" t="inlineStr">
        <is>
          <t>2025-06</t>
        </is>
      </c>
      <c r="B10" s="2" t="inlineStr">
        <is>
          <t>Merchandising</t>
        </is>
      </c>
      <c r="C10" s="3" t="n">
        <v>290</v>
      </c>
      <c r="D10" s="4" t="n">
        <v>22</v>
      </c>
      <c r="E10" s="4" t="n">
        <v>6380</v>
      </c>
      <c r="F10" s="3" t="n">
        <v>3</v>
      </c>
      <c r="G10" s="4" t="n">
        <v>3190</v>
      </c>
    </row>
    <row r="11">
      <c r="A11" s="2" t="inlineStr">
        <is>
          <t>2025-06</t>
        </is>
      </c>
      <c r="B11" s="2" t="inlineStr">
        <is>
          <t>Suscripcion_mensual</t>
        </is>
      </c>
      <c r="C11" s="3" t="n">
        <v>468</v>
      </c>
      <c r="D11" s="4" t="n">
        <v>29</v>
      </c>
      <c r="E11" s="4" t="n">
        <v>13572</v>
      </c>
      <c r="F11" s="3" t="n">
        <v>4</v>
      </c>
      <c r="G11" s="4" t="n">
        <v>2714</v>
      </c>
    </row>
    <row r="12">
      <c r="A12" s="2" t="inlineStr">
        <is>
          <t>2025-07</t>
        </is>
      </c>
      <c r="B12" s="2" t="inlineStr">
        <is>
          <t>Café_en_grano</t>
        </is>
      </c>
      <c r="C12" s="3" t="n">
        <v>1180</v>
      </c>
      <c r="D12" s="4" t="n">
        <v>18.5</v>
      </c>
      <c r="E12" s="4" t="n">
        <v>21830</v>
      </c>
      <c r="F12" s="3" t="n">
        <v>18</v>
      </c>
      <c r="G12" s="4" t="n">
        <v>8732</v>
      </c>
    </row>
    <row r="13">
      <c r="A13" s="2" t="inlineStr">
        <is>
          <t>2025-07</t>
        </is>
      </c>
      <c r="B13" s="2" t="inlineStr">
        <is>
          <t>Cápsulas</t>
        </is>
      </c>
      <c r="C13" s="3" t="n">
        <v>3320</v>
      </c>
      <c r="D13" s="4" t="n">
        <v>9.9</v>
      </c>
      <c r="E13" s="4" t="n">
        <v>32868</v>
      </c>
      <c r="F13" s="3" t="n">
        <v>40</v>
      </c>
      <c r="G13" s="4" t="n">
        <v>16434</v>
      </c>
    </row>
    <row r="14">
      <c r="A14" s="2" t="inlineStr">
        <is>
          <t>2025-07</t>
        </is>
      </c>
      <c r="B14" s="2" t="inlineStr">
        <is>
          <t>Cold_Brew_botella</t>
        </is>
      </c>
      <c r="C14" s="3" t="n">
        <v>1620</v>
      </c>
      <c r="D14" s="4" t="n">
        <v>5.5</v>
      </c>
      <c r="E14" s="4" t="n">
        <v>8910</v>
      </c>
      <c r="F14" s="3" t="n">
        <v>9</v>
      </c>
      <c r="G14" s="4" t="n">
        <v>4455</v>
      </c>
    </row>
    <row r="15">
      <c r="A15" s="2" t="inlineStr">
        <is>
          <t>2025-07</t>
        </is>
      </c>
      <c r="B15" s="2" t="inlineStr">
        <is>
          <t>Merchandising</t>
        </is>
      </c>
      <c r="C15" s="3" t="n">
        <v>265</v>
      </c>
      <c r="D15" s="4" t="n">
        <v>22</v>
      </c>
      <c r="E15" s="4" t="n">
        <v>5830</v>
      </c>
      <c r="F15" s="3" t="n">
        <v>1</v>
      </c>
      <c r="G15" s="4" t="n">
        <v>2915</v>
      </c>
    </row>
    <row r="16">
      <c r="A16" s="2" t="inlineStr">
        <is>
          <t>2025-07</t>
        </is>
      </c>
      <c r="B16" s="2" t="inlineStr">
        <is>
          <t>Suscripcion_mensual</t>
        </is>
      </c>
      <c r="C16" s="3" t="n">
        <v>512</v>
      </c>
      <c r="D16" s="4" t="n">
        <v>29</v>
      </c>
      <c r="E16" s="4" t="n">
        <v>14848</v>
      </c>
      <c r="F16" s="3" t="n">
        <v>5</v>
      </c>
      <c r="G16" s="4" t="n">
        <v>2970</v>
      </c>
    </row>
    <row r="17">
      <c r="A17" s="2" t="inlineStr">
        <is>
          <t>2025-08</t>
        </is>
      </c>
      <c r="B17" s="2" t="inlineStr">
        <is>
          <t>Café_en_grano</t>
        </is>
      </c>
      <c r="C17" s="3" t="n">
        <v>990</v>
      </c>
      <c r="D17" s="4" t="n">
        <v>18.5</v>
      </c>
      <c r="E17" s="4" t="n">
        <v>18315</v>
      </c>
      <c r="F17" s="3" t="n">
        <v>10</v>
      </c>
      <c r="G17" s="4" t="n">
        <v>7326</v>
      </c>
    </row>
    <row r="18">
      <c r="A18" s="2" t="inlineStr">
        <is>
          <t>2025-08</t>
        </is>
      </c>
      <c r="B18" s="2" t="inlineStr">
        <is>
          <t>Cápsulas</t>
        </is>
      </c>
      <c r="C18" s="3" t="n">
        <v>2810</v>
      </c>
      <c r="D18" s="4" t="n">
        <v>9.9</v>
      </c>
      <c r="E18" s="4" t="n">
        <v>27819</v>
      </c>
      <c r="F18" s="3" t="n">
        <v>30</v>
      </c>
      <c r="G18" s="4" t="n">
        <v>13910</v>
      </c>
    </row>
    <row r="19">
      <c r="A19" s="2" t="inlineStr">
        <is>
          <t>2025-08</t>
        </is>
      </c>
      <c r="B19" s="2" t="inlineStr">
        <is>
          <t>Cold_Brew_botella</t>
        </is>
      </c>
      <c r="C19" s="3" t="n">
        <v>1890</v>
      </c>
      <c r="D19" s="4" t="n">
        <v>5.5</v>
      </c>
      <c r="E19" s="4" t="n">
        <v>10395</v>
      </c>
      <c r="F19" s="3" t="n">
        <v>12</v>
      </c>
      <c r="G19" s="4" t="n">
        <v>5198</v>
      </c>
    </row>
    <row r="20">
      <c r="A20" s="2" t="inlineStr">
        <is>
          <t>2025-08</t>
        </is>
      </c>
      <c r="B20" s="2" t="inlineStr">
        <is>
          <t>Merchandising</t>
        </is>
      </c>
      <c r="C20" s="3" t="n">
        <v>220</v>
      </c>
      <c r="D20" s="4" t="n">
        <v>22</v>
      </c>
      <c r="E20" s="4" t="n">
        <v>4840</v>
      </c>
      <c r="F20" s="3" t="n">
        <v>2</v>
      </c>
      <c r="G20" s="4" t="n">
        <v>2420</v>
      </c>
    </row>
    <row r="21">
      <c r="A21" s="2" t="inlineStr">
        <is>
          <t>2025-08</t>
        </is>
      </c>
      <c r="B21" s="2" t="inlineStr">
        <is>
          <t>Suscripcion_mensual</t>
        </is>
      </c>
      <c r="C21" s="3" t="n">
        <v>548</v>
      </c>
      <c r="D21" s="4" t="n">
        <v>29</v>
      </c>
      <c r="E21" s="4" t="n">
        <v>15892</v>
      </c>
      <c r="F21" s="3" t="n">
        <v>7</v>
      </c>
      <c r="G21" s="4" t="n">
        <v>3178</v>
      </c>
    </row>
    <row r="22">
      <c r="A22" s="2" t="inlineStr">
        <is>
          <t>2025-09</t>
        </is>
      </c>
      <c r="B22" s="2" t="inlineStr">
        <is>
          <t>Café_en_grano</t>
        </is>
      </c>
      <c r="C22" s="3" t="n">
        <v>1420</v>
      </c>
      <c r="D22" s="4" t="n">
        <v>18.5</v>
      </c>
      <c r="E22" s="4" t="n">
        <v>26270</v>
      </c>
      <c r="F22" s="3" t="n">
        <v>22</v>
      </c>
      <c r="G22" s="4" t="n">
        <v>10508</v>
      </c>
    </row>
    <row r="23">
      <c r="A23" s="2" t="inlineStr">
        <is>
          <t>2025-09</t>
        </is>
      </c>
      <c r="B23" s="2" t="inlineStr">
        <is>
          <t>Cápsulas</t>
        </is>
      </c>
      <c r="C23" s="3" t="n">
        <v>3680</v>
      </c>
      <c r="D23" s="4" t="n">
        <v>9.9</v>
      </c>
      <c r="E23" s="4" t="n">
        <v>36432</v>
      </c>
      <c r="F23" s="3" t="n">
        <v>55</v>
      </c>
      <c r="G23" s="4" t="n">
        <v>18216</v>
      </c>
    </row>
    <row r="24">
      <c r="A24" s="2" t="inlineStr">
        <is>
          <t>2025-09</t>
        </is>
      </c>
      <c r="B24" s="2" t="inlineStr">
        <is>
          <t>Cold_Brew_botella</t>
        </is>
      </c>
      <c r="C24" s="3" t="n">
        <v>1240</v>
      </c>
      <c r="D24" s="4" t="n">
        <v>5.5</v>
      </c>
      <c r="E24" s="4" t="n">
        <v>6820</v>
      </c>
      <c r="F24" s="3" t="n">
        <v>10</v>
      </c>
      <c r="G24" s="4" t="n">
        <v>3410</v>
      </c>
    </row>
    <row r="25">
      <c r="A25" s="2" t="inlineStr">
        <is>
          <t>2025-09</t>
        </is>
      </c>
      <c r="B25" s="2" t="inlineStr">
        <is>
          <t>Merchandising</t>
        </is>
      </c>
      <c r="C25" s="3" t="n">
        <v>380</v>
      </c>
      <c r="D25" s="4" t="n">
        <v>22</v>
      </c>
      <c r="E25" s="4" t="n">
        <v>8360</v>
      </c>
      <c r="F25" s="3" t="n">
        <v>4</v>
      </c>
      <c r="G25" s="4" t="n">
        <v>4180</v>
      </c>
    </row>
    <row r="26">
      <c r="A26" s="2" t="inlineStr">
        <is>
          <t>2025-09</t>
        </is>
      </c>
      <c r="B26" s="2" t="inlineStr">
        <is>
          <t>Suscripcion_mensual</t>
        </is>
      </c>
      <c r="C26" s="3" t="n">
        <v>602</v>
      </c>
      <c r="D26" s="4" t="n">
        <v>29</v>
      </c>
      <c r="E26" s="4" t="n">
        <v>17458</v>
      </c>
      <c r="F26" s="3" t="n">
        <v>6</v>
      </c>
      <c r="G26" s="4" t="n">
        <v>3492</v>
      </c>
    </row>
    <row r="27">
      <c r="A27" s="2" t="inlineStr">
        <is>
          <t>2025-10</t>
        </is>
      </c>
      <c r="B27" s="2" t="inlineStr">
        <is>
          <t>Café_en_grano</t>
        </is>
      </c>
      <c r="C27" s="3" t="n">
        <v>1510</v>
      </c>
      <c r="D27" s="4" t="n">
        <v>18.5</v>
      </c>
      <c r="E27" s="4" t="n">
        <v>27935</v>
      </c>
      <c r="F27" s="3" t="n">
        <v>20</v>
      </c>
      <c r="G27" s="4" t="n">
        <v>11174</v>
      </c>
    </row>
    <row r="28">
      <c r="A28" s="2" t="inlineStr">
        <is>
          <t>2025-10</t>
        </is>
      </c>
      <c r="B28" s="2" t="inlineStr">
        <is>
          <t>Cápsulas</t>
        </is>
      </c>
      <c r="C28" s="3" t="n">
        <v>3920</v>
      </c>
      <c r="D28" s="4" t="n">
        <v>9.9</v>
      </c>
      <c r="E28" s="4" t="n">
        <v>38808</v>
      </c>
      <c r="F28" s="3" t="n">
        <v>62</v>
      </c>
      <c r="G28" s="4" t="n">
        <v>19404</v>
      </c>
    </row>
    <row r="29">
      <c r="A29" s="2" t="inlineStr">
        <is>
          <t>2025-10</t>
        </is>
      </c>
      <c r="B29" s="2" t="inlineStr">
        <is>
          <t>Cold_Brew_botella</t>
        </is>
      </c>
      <c r="C29" s="3" t="n">
        <v>710</v>
      </c>
      <c r="D29" s="4" t="n">
        <v>5.5</v>
      </c>
      <c r="E29" s="4" t="n">
        <v>3905</v>
      </c>
      <c r="F29" s="3" t="n">
        <v>5</v>
      </c>
      <c r="G29" s="4" t="n">
        <v>1953</v>
      </c>
    </row>
    <row r="30">
      <c r="A30" s="2" t="inlineStr">
        <is>
          <t>2025-10</t>
        </is>
      </c>
      <c r="B30" s="2" t="inlineStr">
        <is>
          <t>Merchandising</t>
        </is>
      </c>
      <c r="C30" s="3" t="n">
        <v>440</v>
      </c>
      <c r="D30" s="4" t="n">
        <v>22</v>
      </c>
      <c r="E30" s="4" t="n">
        <v>9680</v>
      </c>
      <c r="F30" s="3" t="n">
        <v>3</v>
      </c>
      <c r="G30" s="4" t="n">
        <v>4840</v>
      </c>
    </row>
    <row r="31">
      <c r="A31" s="2" t="inlineStr">
        <is>
          <t>2025-10</t>
        </is>
      </c>
      <c r="B31" s="2" t="inlineStr">
        <is>
          <t>Suscripcion_mensual</t>
        </is>
      </c>
      <c r="C31" s="3" t="n">
        <v>651</v>
      </c>
      <c r="D31" s="4" t="n">
        <v>29</v>
      </c>
      <c r="E31" s="4" t="n">
        <v>18879</v>
      </c>
      <c r="F31" s="3" t="n">
        <v>8</v>
      </c>
      <c r="G31" s="4" t="n">
        <v>3776</v>
      </c>
    </row>
    <row r="32">
      <c r="A32" s="2" t="inlineStr">
        <is>
          <t>2025-11</t>
        </is>
      </c>
      <c r="B32" s="2" t="inlineStr">
        <is>
          <t>Café_en_grano</t>
        </is>
      </c>
      <c r="C32" s="3" t="n">
        <v>1820</v>
      </c>
      <c r="D32" s="4" t="n">
        <v>18.5</v>
      </c>
      <c r="E32" s="4" t="n">
        <v>33670</v>
      </c>
      <c r="F32" s="3" t="n">
        <v>25</v>
      </c>
      <c r="G32" s="4" t="n">
        <v>13468</v>
      </c>
    </row>
    <row r="33">
      <c r="A33" s="2" t="inlineStr">
        <is>
          <t>2025-11</t>
        </is>
      </c>
      <c r="B33" s="2" t="inlineStr">
        <is>
          <t>Cápsulas</t>
        </is>
      </c>
      <c r="C33" s="3" t="n">
        <v>4150</v>
      </c>
      <c r="D33" s="4" t="n">
        <v>9.9</v>
      </c>
      <c r="E33" s="4" t="n">
        <v>41085</v>
      </c>
      <c r="F33" s="3" t="n">
        <v>70</v>
      </c>
      <c r="G33" s="4" t="n">
        <v>20543</v>
      </c>
    </row>
    <row r="34">
      <c r="A34" s="2" t="inlineStr">
        <is>
          <t>2025-11</t>
        </is>
      </c>
      <c r="B34" s="2" t="inlineStr">
        <is>
          <t>Cold_Brew_botella</t>
        </is>
      </c>
      <c r="C34" s="3" t="n">
        <v>520</v>
      </c>
      <c r="D34" s="4" t="n">
        <v>5.5</v>
      </c>
      <c r="E34" s="4" t="n">
        <v>2860</v>
      </c>
      <c r="F34" s="3" t="n">
        <v>4</v>
      </c>
      <c r="G34" s="4" t="n">
        <v>1430</v>
      </c>
    </row>
    <row r="35">
      <c r="A35" s="2" t="inlineStr">
        <is>
          <t>2025-11</t>
        </is>
      </c>
      <c r="B35" s="2" t="inlineStr">
        <is>
          <t>Merchandising</t>
        </is>
      </c>
      <c r="C35" s="3" t="n">
        <v>890</v>
      </c>
      <c r="D35" s="4" t="n">
        <v>22</v>
      </c>
      <c r="E35" s="4" t="n">
        <v>19580</v>
      </c>
      <c r="F35" s="3" t="n">
        <v>8</v>
      </c>
      <c r="G35" s="4" t="n">
        <v>9790</v>
      </c>
    </row>
    <row r="36">
      <c r="A36" s="2" t="inlineStr">
        <is>
          <t>2025-11</t>
        </is>
      </c>
      <c r="B36" s="2" t="inlineStr">
        <is>
          <t>Suscripcion_mensual</t>
        </is>
      </c>
      <c r="C36" s="3" t="n">
        <v>690</v>
      </c>
      <c r="D36" s="4" t="n">
        <v>29</v>
      </c>
      <c r="E36" s="4" t="n">
        <v>20010</v>
      </c>
      <c r="F36" s="3" t="n">
        <v>7</v>
      </c>
      <c r="G36" s="4" t="n">
        <v>4002</v>
      </c>
    </row>
    <row r="37">
      <c r="A37" s="2" t="inlineStr">
        <is>
          <t>2025-12</t>
        </is>
      </c>
      <c r="B37" s="2" t="inlineStr">
        <is>
          <t>Café_en_grano</t>
        </is>
      </c>
      <c r="C37" s="3" t="n">
        <v>2310</v>
      </c>
      <c r="D37" s="4" t="n">
        <v>18.5</v>
      </c>
      <c r="E37" s="4" t="n">
        <v>42735</v>
      </c>
      <c r="F37" s="3" t="n">
        <v>32</v>
      </c>
      <c r="G37" s="4" t="n">
        <v>17094</v>
      </c>
    </row>
    <row r="38">
      <c r="A38" s="2" t="inlineStr">
        <is>
          <t>2025-12</t>
        </is>
      </c>
      <c r="B38" s="2" t="inlineStr">
        <is>
          <t>Cápsulas</t>
        </is>
      </c>
      <c r="C38" s="3" t="n">
        <v>4980</v>
      </c>
      <c r="D38" s="4" t="n">
        <v>9.9</v>
      </c>
      <c r="E38" s="4" t="n">
        <v>49302</v>
      </c>
      <c r="F38" s="3" t="n">
        <v>88</v>
      </c>
      <c r="G38" s="4" t="n">
        <v>24651</v>
      </c>
    </row>
    <row r="39">
      <c r="A39" s="2" t="inlineStr">
        <is>
          <t>2025-12</t>
        </is>
      </c>
      <c r="B39" s="2" t="inlineStr">
        <is>
          <t>Cold_Brew_botella</t>
        </is>
      </c>
      <c r="C39" s="3" t="n">
        <v>420</v>
      </c>
      <c r="D39" s="4" t="n">
        <v>5.5</v>
      </c>
      <c r="E39" s="4" t="n">
        <v>2310</v>
      </c>
      <c r="F39" s="3" t="n">
        <v>3</v>
      </c>
      <c r="G39" s="4" t="n">
        <v>1155</v>
      </c>
    </row>
    <row r="40">
      <c r="A40" s="2" t="inlineStr">
        <is>
          <t>2025-12</t>
        </is>
      </c>
      <c r="B40" s="2" t="inlineStr">
        <is>
          <t>Merchandising</t>
        </is>
      </c>
      <c r="C40" s="3" t="n">
        <v>1220</v>
      </c>
      <c r="D40" s="4" t="n">
        <v>22</v>
      </c>
      <c r="E40" s="4" t="n">
        <v>26840</v>
      </c>
      <c r="F40" s="3" t="n">
        <v>18</v>
      </c>
      <c r="G40" s="4" t="n">
        <v>13420</v>
      </c>
    </row>
    <row r="41">
      <c r="A41" s="2" t="inlineStr">
        <is>
          <t>2025-12</t>
        </is>
      </c>
      <c r="B41" s="2" t="inlineStr">
        <is>
          <t>Suscripcion_mensual</t>
        </is>
      </c>
      <c r="C41" s="3" t="n">
        <v>724</v>
      </c>
      <c r="D41" s="4" t="n">
        <v>29</v>
      </c>
      <c r="E41" s="4" t="n">
        <v>20996</v>
      </c>
      <c r="F41" s="3" t="n">
        <v>5</v>
      </c>
      <c r="G41" s="4" t="n">
        <v>4199</v>
      </c>
    </row>
    <row r="42">
      <c r="A42" s="2" t="inlineStr">
        <is>
          <t>2026-01</t>
        </is>
      </c>
      <c r="B42" s="2" t="inlineStr">
        <is>
          <t>Café_en_grano</t>
        </is>
      </c>
      <c r="C42" s="3" t="n">
        <v>1180</v>
      </c>
      <c r="D42" s="4" t="n">
        <v>18.5</v>
      </c>
      <c r="E42" s="4" t="n">
        <v>21830</v>
      </c>
      <c r="F42" s="3" t="n">
        <v>15</v>
      </c>
      <c r="G42" s="4" t="n">
        <v>8732</v>
      </c>
    </row>
    <row r="43">
      <c r="A43" s="2" t="inlineStr">
        <is>
          <t>2026-01</t>
        </is>
      </c>
      <c r="B43" s="2" t="inlineStr">
        <is>
          <t>Cápsulas</t>
        </is>
      </c>
      <c r="C43" s="3" t="n">
        <v>3490</v>
      </c>
      <c r="D43" s="4" t="n">
        <v>9.9</v>
      </c>
      <c r="E43" s="4" t="n">
        <v>34551</v>
      </c>
      <c r="F43" s="3" t="n">
        <v>50</v>
      </c>
      <c r="G43" s="4" t="n">
        <v>17276</v>
      </c>
    </row>
    <row r="44">
      <c r="A44" s="2" t="inlineStr">
        <is>
          <t>2026-01</t>
        </is>
      </c>
      <c r="B44" s="2" t="inlineStr">
        <is>
          <t>Cold_Brew_botella</t>
        </is>
      </c>
      <c r="C44" s="3" t="n">
        <v>380</v>
      </c>
      <c r="D44" s="4" t="n">
        <v>5.5</v>
      </c>
      <c r="E44" s="4" t="n">
        <v>2090</v>
      </c>
      <c r="F44" s="3" t="n">
        <v>4</v>
      </c>
      <c r="G44" s="4" t="n">
        <v>1045</v>
      </c>
    </row>
    <row r="45">
      <c r="A45" s="2" t="inlineStr">
        <is>
          <t>2026-01</t>
        </is>
      </c>
      <c r="B45" s="2" t="inlineStr">
        <is>
          <t>Merchandising</t>
        </is>
      </c>
      <c r="C45" s="3" t="n">
        <v>310</v>
      </c>
      <c r="D45" s="4" t="n">
        <v>22</v>
      </c>
      <c r="E45" s="4" t="n">
        <v>6820</v>
      </c>
      <c r="F45" s="3" t="n">
        <v>3</v>
      </c>
      <c r="G45" s="4" t="n">
        <v>3410</v>
      </c>
    </row>
    <row r="46">
      <c r="A46" s="2" t="inlineStr">
        <is>
          <t>2026-01</t>
        </is>
      </c>
      <c r="B46" s="2" t="inlineStr">
        <is>
          <t>Suscripcion_mensual</t>
        </is>
      </c>
      <c r="C46" s="3" t="n">
        <v>752</v>
      </c>
      <c r="D46" s="4" t="n">
        <v>29</v>
      </c>
      <c r="E46" s="4" t="n">
        <v>21808</v>
      </c>
      <c r="F46" s="3" t="n">
        <v>4</v>
      </c>
      <c r="G46" s="4" t="n">
        <v>4362</v>
      </c>
    </row>
    <row r="47">
      <c r="A47" s="2" t="inlineStr">
        <is>
          <t>2026-02</t>
        </is>
      </c>
      <c r="B47" s="2" t="inlineStr">
        <is>
          <t>Café_en_grano</t>
        </is>
      </c>
      <c r="C47" s="3" t="n">
        <v>1240</v>
      </c>
      <c r="D47" s="4" t="n">
        <v>18.5</v>
      </c>
      <c r="E47" s="4" t="n">
        <v>22940</v>
      </c>
      <c r="F47" s="3" t="n">
        <v>18</v>
      </c>
      <c r="G47" s="4" t="n">
        <v>9176</v>
      </c>
    </row>
    <row r="48">
      <c r="A48" s="2" t="inlineStr">
        <is>
          <t>2026-02</t>
        </is>
      </c>
      <c r="B48" s="2" t="inlineStr">
        <is>
          <t>Cápsulas</t>
        </is>
      </c>
      <c r="C48" s="3" t="n">
        <v>3580</v>
      </c>
      <c r="D48" s="4" t="n">
        <v>9.9</v>
      </c>
      <c r="E48" s="4" t="n">
        <v>35442</v>
      </c>
      <c r="F48" s="3" t="n">
        <v>48</v>
      </c>
      <c r="G48" s="4" t="n">
        <v>17721</v>
      </c>
    </row>
    <row r="49">
      <c r="A49" s="2" t="inlineStr">
        <is>
          <t>2026-02</t>
        </is>
      </c>
      <c r="B49" s="2" t="inlineStr">
        <is>
          <t>Cold_Brew_botella</t>
        </is>
      </c>
      <c r="C49" s="3" t="n">
        <v>460</v>
      </c>
      <c r="D49" s="4" t="n">
        <v>5.5</v>
      </c>
      <c r="E49" s="4" t="n">
        <v>2530</v>
      </c>
      <c r="F49" s="3" t="n">
        <v>5</v>
      </c>
      <c r="G49" s="4" t="n">
        <v>1265</v>
      </c>
    </row>
    <row r="50">
      <c r="A50" s="2" t="inlineStr">
        <is>
          <t>2026-02</t>
        </is>
      </c>
      <c r="B50" s="2" t="inlineStr">
        <is>
          <t>Merchandising</t>
        </is>
      </c>
      <c r="C50" s="3" t="n">
        <v>340</v>
      </c>
      <c r="D50" s="4" t="n">
        <v>22</v>
      </c>
      <c r="E50" s="4" t="n">
        <v>7480</v>
      </c>
      <c r="F50" s="3" t="n">
        <v>2</v>
      </c>
      <c r="G50" s="4" t="n">
        <v>3740</v>
      </c>
    </row>
    <row r="51">
      <c r="A51" s="2" t="inlineStr">
        <is>
          <t>2026-02</t>
        </is>
      </c>
      <c r="B51" s="2" t="inlineStr">
        <is>
          <t>Suscripcion_mensual</t>
        </is>
      </c>
      <c r="C51" s="3" t="n">
        <v>789</v>
      </c>
      <c r="D51" s="4" t="n">
        <v>29</v>
      </c>
      <c r="E51" s="4" t="n">
        <v>22881</v>
      </c>
      <c r="F51" s="3" t="n">
        <v>6</v>
      </c>
      <c r="G51" s="4" t="n">
        <v>4576</v>
      </c>
    </row>
    <row r="52">
      <c r="A52" s="2" t="inlineStr">
        <is>
          <t>2026-03</t>
        </is>
      </c>
      <c r="B52" s="2" t="inlineStr">
        <is>
          <t>Café_en_grano</t>
        </is>
      </c>
      <c r="C52" s="3" t="n">
        <v>1380</v>
      </c>
      <c r="D52" s="4" t="n">
        <v>18.5</v>
      </c>
      <c r="E52" s="4" t="n">
        <v>25530</v>
      </c>
      <c r="F52" s="3" t="n">
        <v>20</v>
      </c>
      <c r="G52" s="4" t="n">
        <v>10212</v>
      </c>
    </row>
    <row r="53">
      <c r="A53" s="2" t="inlineStr">
        <is>
          <t>2026-03</t>
        </is>
      </c>
      <c r="B53" s="2" t="inlineStr">
        <is>
          <t>Cápsulas</t>
        </is>
      </c>
      <c r="C53" s="3" t="n">
        <v>3720</v>
      </c>
      <c r="D53" s="4" t="n">
        <v>9.9</v>
      </c>
      <c r="E53" s="4" t="n">
        <v>36828</v>
      </c>
      <c r="F53" s="3" t="n">
        <v>55</v>
      </c>
      <c r="G53" s="4" t="n">
        <v>18414</v>
      </c>
    </row>
    <row r="54">
      <c r="A54" s="2" t="inlineStr">
        <is>
          <t>2026-03</t>
        </is>
      </c>
      <c r="B54" s="2" t="inlineStr">
        <is>
          <t>Cold_Brew_botella</t>
        </is>
      </c>
      <c r="C54" s="3" t="n">
        <v>680</v>
      </c>
      <c r="D54" s="4" t="n">
        <v>5.5</v>
      </c>
      <c r="E54" s="4" t="n">
        <v>3740</v>
      </c>
      <c r="F54" s="3" t="n">
        <v>7</v>
      </c>
      <c r="G54" s="4" t="n">
        <v>1870</v>
      </c>
    </row>
    <row r="55">
      <c r="A55" s="2" t="inlineStr">
        <is>
          <t>2026-03</t>
        </is>
      </c>
      <c r="B55" s="2" t="inlineStr">
        <is>
          <t>Merchandising</t>
        </is>
      </c>
      <c r="C55" s="3" t="n">
        <v>395</v>
      </c>
      <c r="D55" s="4" t="n">
        <v>22</v>
      </c>
      <c r="E55" s="4" t="n">
        <v>8690</v>
      </c>
      <c r="F55" s="3" t="n">
        <v>3</v>
      </c>
      <c r="G55" s="4" t="n">
        <v>4345</v>
      </c>
    </row>
    <row r="56">
      <c r="A56" s="2" t="inlineStr">
        <is>
          <t>2026-03</t>
        </is>
      </c>
      <c r="B56" s="2" t="inlineStr">
        <is>
          <t>Suscripcion_mensual</t>
        </is>
      </c>
      <c r="C56" s="3" t="n">
        <v>812</v>
      </c>
      <c r="D56" s="4" t="n">
        <v>29</v>
      </c>
      <c r="E56" s="4" t="n">
        <v>23548</v>
      </c>
      <c r="F56" s="3" t="n">
        <v>7</v>
      </c>
      <c r="G56" s="4" t="n">
        <v>4710</v>
      </c>
    </row>
    <row r="57">
      <c r="A57" s="2" t="inlineStr">
        <is>
          <t>2026-04</t>
        </is>
      </c>
      <c r="B57" s="2" t="inlineStr">
        <is>
          <t>Café_en_grano</t>
        </is>
      </c>
      <c r="C57" s="3" t="n">
        <v>1450</v>
      </c>
      <c r="D57" s="4" t="n">
        <v>18.5</v>
      </c>
      <c r="E57" s="4" t="n">
        <v>26825</v>
      </c>
      <c r="F57" s="3" t="n">
        <v>22</v>
      </c>
      <c r="G57" s="4" t="n">
        <v>10730</v>
      </c>
    </row>
    <row r="58">
      <c r="A58" s="2" t="inlineStr">
        <is>
          <t>2026-04</t>
        </is>
      </c>
      <c r="B58" s="2" t="inlineStr">
        <is>
          <t>Cápsulas</t>
        </is>
      </c>
      <c r="C58" s="3" t="n">
        <v>3890</v>
      </c>
      <c r="D58" s="4" t="n">
        <v>9.9</v>
      </c>
      <c r="E58" s="4" t="n">
        <v>38511</v>
      </c>
      <c r="F58" s="3" t="n">
        <v>58</v>
      </c>
      <c r="G58" s="4" t="n">
        <v>19256</v>
      </c>
    </row>
    <row r="59">
      <c r="A59" s="2" t="inlineStr">
        <is>
          <t>2026-04</t>
        </is>
      </c>
      <c r="B59" s="2" t="inlineStr">
        <is>
          <t>Cold_Brew_botella</t>
        </is>
      </c>
      <c r="C59" s="3" t="n">
        <v>990</v>
      </c>
      <c r="D59" s="4" t="n">
        <v>5.5</v>
      </c>
      <c r="E59" s="4" t="n">
        <v>5445</v>
      </c>
      <c r="F59" s="3" t="n">
        <v>9</v>
      </c>
      <c r="G59" s="4" t="n">
        <v>2723</v>
      </c>
    </row>
    <row r="60">
      <c r="A60" s="2" t="inlineStr">
        <is>
          <t>2026-04</t>
        </is>
      </c>
      <c r="B60" s="2" t="inlineStr">
        <is>
          <t>Merchandising</t>
        </is>
      </c>
      <c r="C60" s="3" t="n">
        <v>420</v>
      </c>
      <c r="D60" s="4" t="n">
        <v>22</v>
      </c>
      <c r="E60" s="4" t="n">
        <v>9240</v>
      </c>
      <c r="F60" s="3" t="n">
        <v>4</v>
      </c>
      <c r="G60" s="4" t="n">
        <v>4620</v>
      </c>
    </row>
    <row r="61">
      <c r="A61" s="2" t="inlineStr">
        <is>
          <t>2026-04</t>
        </is>
      </c>
      <c r="B61" s="2" t="inlineStr">
        <is>
          <t>Suscripcion_mensual</t>
        </is>
      </c>
      <c r="C61" s="3" t="n">
        <v>841</v>
      </c>
      <c r="D61" s="4" t="n">
        <v>29</v>
      </c>
      <c r="E61" s="4" t="n">
        <v>24389</v>
      </c>
      <c r="F61" s="3" t="n">
        <v>5</v>
      </c>
      <c r="G61" s="4" t="n">
        <v>4878</v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Mes</t>
        </is>
      </c>
      <c r="B1" s="1" t="inlineStr">
        <is>
          <t>Ingresos totales</t>
        </is>
      </c>
      <c r="C1" s="1" t="inlineStr">
        <is>
          <t>Unidades totales</t>
        </is>
      </c>
      <c r="D1" s="1" t="inlineStr">
        <is>
          <t>Coste variable total</t>
        </is>
      </c>
      <c r="E1" s="1" t="inlineStr">
        <is>
          <t>Margen bruto</t>
        </is>
      </c>
      <c r="F1" s="1" t="inlineStr">
        <is>
          <t>Margen %</t>
        </is>
      </c>
    </row>
    <row r="2">
      <c r="A2" s="2" t="inlineStr">
        <is>
          <t>2025-05</t>
        </is>
      </c>
      <c r="B2" s="5">
        <f>SUMIFS('Ventas mensuales'!$E$2:$E$61,'Ventas mensuales'!$A$2:$A$61,A2)</f>
        <v/>
      </c>
      <c r="C2" s="6">
        <f>SUMIFS('Ventas mensuales'!$C$2:$C$61,'Ventas mensuales'!$A$2:$A$61,A2)</f>
        <v/>
      </c>
      <c r="D2" s="5">
        <f>SUMIFS('Ventas mensuales'!$G$2:$G$61,'Ventas mensuales'!$A$2:$A$61,A2)</f>
        <v/>
      </c>
      <c r="E2" s="5">
        <f>B2-D2</f>
        <v/>
      </c>
      <c r="F2" s="7">
        <f>IF(B2=0,0,E2/B2)</f>
        <v/>
      </c>
    </row>
    <row r="3">
      <c r="A3" s="2" t="inlineStr">
        <is>
          <t>2025-06</t>
        </is>
      </c>
      <c r="B3" s="5">
        <f>SUMIFS('Ventas mensuales'!$E$2:$E$61,'Ventas mensuales'!$A$2:$A$61,A3)</f>
        <v/>
      </c>
      <c r="C3" s="6">
        <f>SUMIFS('Ventas mensuales'!$C$2:$C$61,'Ventas mensuales'!$A$2:$A$61,A3)</f>
        <v/>
      </c>
      <c r="D3" s="5">
        <f>SUMIFS('Ventas mensuales'!$G$2:$G$61,'Ventas mensuales'!$A$2:$A$61,A3)</f>
        <v/>
      </c>
      <c r="E3" s="5">
        <f>B3-D3</f>
        <v/>
      </c>
      <c r="F3" s="7">
        <f>IF(B3=0,0,E3/B3)</f>
        <v/>
      </c>
    </row>
    <row r="4">
      <c r="A4" s="2" t="inlineStr">
        <is>
          <t>2025-07</t>
        </is>
      </c>
      <c r="B4" s="5">
        <f>SUMIFS('Ventas mensuales'!$E$2:$E$61,'Ventas mensuales'!$A$2:$A$61,A4)</f>
        <v/>
      </c>
      <c r="C4" s="6">
        <f>SUMIFS('Ventas mensuales'!$C$2:$C$61,'Ventas mensuales'!$A$2:$A$61,A4)</f>
        <v/>
      </c>
      <c r="D4" s="5">
        <f>SUMIFS('Ventas mensuales'!$G$2:$G$61,'Ventas mensuales'!$A$2:$A$61,A4)</f>
        <v/>
      </c>
      <c r="E4" s="5">
        <f>B4-D4</f>
        <v/>
      </c>
      <c r="F4" s="7">
        <f>IF(B4=0,0,E4/B4)</f>
        <v/>
      </c>
    </row>
    <row r="5">
      <c r="A5" s="2" t="inlineStr">
        <is>
          <t>2025-08</t>
        </is>
      </c>
      <c r="B5" s="5">
        <f>SUMIFS('Ventas mensuales'!$E$2:$E$61,'Ventas mensuales'!$A$2:$A$61,A5)</f>
        <v/>
      </c>
      <c r="C5" s="6">
        <f>SUMIFS('Ventas mensuales'!$C$2:$C$61,'Ventas mensuales'!$A$2:$A$61,A5)</f>
        <v/>
      </c>
      <c r="D5" s="5">
        <f>SUMIFS('Ventas mensuales'!$G$2:$G$61,'Ventas mensuales'!$A$2:$A$61,A5)</f>
        <v/>
      </c>
      <c r="E5" s="5">
        <f>B5-D5</f>
        <v/>
      </c>
      <c r="F5" s="7">
        <f>IF(B5=0,0,E5/B5)</f>
        <v/>
      </c>
    </row>
    <row r="6">
      <c r="A6" s="2" t="inlineStr">
        <is>
          <t>2025-09</t>
        </is>
      </c>
      <c r="B6" s="5">
        <f>SUMIFS('Ventas mensuales'!$E$2:$E$61,'Ventas mensuales'!$A$2:$A$61,A6)</f>
        <v/>
      </c>
      <c r="C6" s="6">
        <f>SUMIFS('Ventas mensuales'!$C$2:$C$61,'Ventas mensuales'!$A$2:$A$61,A6)</f>
        <v/>
      </c>
      <c r="D6" s="5">
        <f>SUMIFS('Ventas mensuales'!$G$2:$G$61,'Ventas mensuales'!$A$2:$A$61,A6)</f>
        <v/>
      </c>
      <c r="E6" s="5">
        <f>B6-D6</f>
        <v/>
      </c>
      <c r="F6" s="7">
        <f>IF(B6=0,0,E6/B6)</f>
        <v/>
      </c>
    </row>
    <row r="7">
      <c r="A7" s="2" t="inlineStr">
        <is>
          <t>2025-10</t>
        </is>
      </c>
      <c r="B7" s="5">
        <f>SUMIFS('Ventas mensuales'!$E$2:$E$61,'Ventas mensuales'!$A$2:$A$61,A7)</f>
        <v/>
      </c>
      <c r="C7" s="6">
        <f>SUMIFS('Ventas mensuales'!$C$2:$C$61,'Ventas mensuales'!$A$2:$A$61,A7)</f>
        <v/>
      </c>
      <c r="D7" s="5">
        <f>SUMIFS('Ventas mensuales'!$G$2:$G$61,'Ventas mensuales'!$A$2:$A$61,A7)</f>
        <v/>
      </c>
      <c r="E7" s="5">
        <f>B7-D7</f>
        <v/>
      </c>
      <c r="F7" s="7">
        <f>IF(B7=0,0,E7/B7)</f>
        <v/>
      </c>
    </row>
    <row r="8">
      <c r="A8" s="2" t="inlineStr">
        <is>
          <t>2025-11</t>
        </is>
      </c>
      <c r="B8" s="5">
        <f>SUMIFS('Ventas mensuales'!$E$2:$E$61,'Ventas mensuales'!$A$2:$A$61,A8)</f>
        <v/>
      </c>
      <c r="C8" s="6">
        <f>SUMIFS('Ventas mensuales'!$C$2:$C$61,'Ventas mensuales'!$A$2:$A$61,A8)</f>
        <v/>
      </c>
      <c r="D8" s="5">
        <f>SUMIFS('Ventas mensuales'!$G$2:$G$61,'Ventas mensuales'!$A$2:$A$61,A8)</f>
        <v/>
      </c>
      <c r="E8" s="5">
        <f>B8-D8</f>
        <v/>
      </c>
      <c r="F8" s="7">
        <f>IF(B8=0,0,E8/B8)</f>
        <v/>
      </c>
    </row>
    <row r="9">
      <c r="A9" s="2" t="inlineStr">
        <is>
          <t>2025-12</t>
        </is>
      </c>
      <c r="B9" s="5">
        <f>SUMIFS('Ventas mensuales'!$E$2:$E$61,'Ventas mensuales'!$A$2:$A$61,A9)</f>
        <v/>
      </c>
      <c r="C9" s="6">
        <f>SUMIFS('Ventas mensuales'!$C$2:$C$61,'Ventas mensuales'!$A$2:$A$61,A9)</f>
        <v/>
      </c>
      <c r="D9" s="5">
        <f>SUMIFS('Ventas mensuales'!$G$2:$G$61,'Ventas mensuales'!$A$2:$A$61,A9)</f>
        <v/>
      </c>
      <c r="E9" s="5">
        <f>B9-D9</f>
        <v/>
      </c>
      <c r="F9" s="7">
        <f>IF(B9=0,0,E9/B9)</f>
        <v/>
      </c>
    </row>
    <row r="10">
      <c r="A10" s="2" t="inlineStr">
        <is>
          <t>2026-01</t>
        </is>
      </c>
      <c r="B10" s="5">
        <f>SUMIFS('Ventas mensuales'!$E$2:$E$61,'Ventas mensuales'!$A$2:$A$61,A10)</f>
        <v/>
      </c>
      <c r="C10" s="6">
        <f>SUMIFS('Ventas mensuales'!$C$2:$C$61,'Ventas mensuales'!$A$2:$A$61,A10)</f>
        <v/>
      </c>
      <c r="D10" s="5">
        <f>SUMIFS('Ventas mensuales'!$G$2:$G$61,'Ventas mensuales'!$A$2:$A$61,A10)</f>
        <v/>
      </c>
      <c r="E10" s="5">
        <f>B10-D10</f>
        <v/>
      </c>
      <c r="F10" s="7">
        <f>IF(B10=0,0,E10/B10)</f>
        <v/>
      </c>
    </row>
    <row r="11">
      <c r="A11" s="2" t="inlineStr">
        <is>
          <t>2026-02</t>
        </is>
      </c>
      <c r="B11" s="5">
        <f>SUMIFS('Ventas mensuales'!$E$2:$E$61,'Ventas mensuales'!$A$2:$A$61,A11)</f>
        <v/>
      </c>
      <c r="C11" s="6">
        <f>SUMIFS('Ventas mensuales'!$C$2:$C$61,'Ventas mensuales'!$A$2:$A$61,A11)</f>
        <v/>
      </c>
      <c r="D11" s="5">
        <f>SUMIFS('Ventas mensuales'!$G$2:$G$61,'Ventas mensuales'!$A$2:$A$61,A11)</f>
        <v/>
      </c>
      <c r="E11" s="5">
        <f>B11-D11</f>
        <v/>
      </c>
      <c r="F11" s="7">
        <f>IF(B11=0,0,E11/B11)</f>
        <v/>
      </c>
    </row>
    <row r="12">
      <c r="A12" s="2" t="inlineStr">
        <is>
          <t>2026-03</t>
        </is>
      </c>
      <c r="B12" s="5">
        <f>SUMIFS('Ventas mensuales'!$E$2:$E$61,'Ventas mensuales'!$A$2:$A$61,A12)</f>
        <v/>
      </c>
      <c r="C12" s="6">
        <f>SUMIFS('Ventas mensuales'!$C$2:$C$61,'Ventas mensuales'!$A$2:$A$61,A12)</f>
        <v/>
      </c>
      <c r="D12" s="5">
        <f>SUMIFS('Ventas mensuales'!$G$2:$G$61,'Ventas mensuales'!$A$2:$A$61,A12)</f>
        <v/>
      </c>
      <c r="E12" s="5">
        <f>B12-D12</f>
        <v/>
      </c>
      <c r="F12" s="7">
        <f>IF(B12=0,0,E12/B12)</f>
        <v/>
      </c>
    </row>
    <row r="13">
      <c r="A13" s="2" t="inlineStr">
        <is>
          <t>2026-04</t>
        </is>
      </c>
      <c r="B13" s="5">
        <f>SUMIFS('Ventas mensuales'!$E$2:$E$61,'Ventas mensuales'!$A$2:$A$61,A13)</f>
        <v/>
      </c>
      <c r="C13" s="6">
        <f>SUMIFS('Ventas mensuales'!$C$2:$C$61,'Ventas mensuales'!$A$2:$A$61,A13)</f>
        <v/>
      </c>
      <c r="D13" s="5">
        <f>SUMIFS('Ventas mensuales'!$G$2:$G$61,'Ventas mensuales'!$A$2:$A$61,A13)</f>
        <v/>
      </c>
      <c r="E13" s="5">
        <f>B13-D13</f>
        <v/>
      </c>
      <c r="F13" s="7">
        <f>IF(B13=0,0,E13/B13)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2026-05-14T18:54:24Z</dcterms:created>
  <dcterms:modified xmlns:dcterms="http://purl.org/dc/terms/" xmlns:xsi="http://www.w3.org/2001/XMLSchema-instance" xsi:type="dcterms:W3CDTF">2026-05-14T18:54:24Z</dcterms:modified>
</cp:coreProperties>
</file>